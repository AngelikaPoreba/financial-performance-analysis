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y\Desktop\Financial project\"/>
    </mc:Choice>
  </mc:AlternateContent>
  <xr:revisionPtr revIDLastSave="0" documentId="13_ncr:1_{6C4866F3-11FA-4EBF-8716-4C54A5BDAAC7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Dane finansowe" sheetId="1" r:id="rId1"/>
    <sheet name="Odchylenia wg działu" sheetId="2" r:id="rId2"/>
    <sheet name="Budget vs Actual" sheetId="3" r:id="rId3"/>
    <sheet name="Odchylenia wg kwartału" sheetId="4" r:id="rId4"/>
    <sheet name="Budget vs Actual kwartalnie" sheetId="5" r:id="rId5"/>
    <sheet name="Forecast vs Actual kwartalnie" sheetId="6" r:id="rId6"/>
  </sheets>
  <calcPr calcId="191029"/>
  <pivotCaches>
    <pivotCache cacheId="0" r:id="rId7"/>
  </pivotCaches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I3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" i="1"/>
  <c r="I6" i="1"/>
  <c r="I7" i="1"/>
  <c r="I8" i="1"/>
  <c r="I9" i="1"/>
  <c r="I2" i="1"/>
  <c r="I4" i="1"/>
</calcChain>
</file>

<file path=xl/sharedStrings.xml><?xml version="1.0" encoding="utf-8"?>
<sst xmlns="http://schemas.openxmlformats.org/spreadsheetml/2006/main" count="88" uniqueCount="22">
  <si>
    <t>FiscalYear</t>
  </si>
  <si>
    <t>Dept</t>
  </si>
  <si>
    <t>Quarter</t>
  </si>
  <si>
    <t>BudgetUSD</t>
  </si>
  <si>
    <t>ForecastUSD</t>
  </si>
  <si>
    <t>ActualUSD</t>
  </si>
  <si>
    <t>VarianceUSD</t>
  </si>
  <si>
    <t>Notes</t>
  </si>
  <si>
    <t>Finance</t>
  </si>
  <si>
    <t>HR</t>
  </si>
  <si>
    <t>IT</t>
  </si>
  <si>
    <t>Sales</t>
  </si>
  <si>
    <t>Marketing</t>
  </si>
  <si>
    <t>Operations</t>
  </si>
  <si>
    <t>Variance %</t>
  </si>
  <si>
    <t>Budget Status</t>
  </si>
  <si>
    <t>Etykiety wierszy</t>
  </si>
  <si>
    <t>Suma końcowa</t>
  </si>
  <si>
    <t>Suma z VarianceUSD</t>
  </si>
  <si>
    <t>Suma z BudgetUSD</t>
  </si>
  <si>
    <t>Suma z ActualUSD</t>
  </si>
  <si>
    <t>Suma z ForecastUSD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</si>
</sst>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ny" xfId="0" builtinId="0"/>
  </cellStyles>
  <dxfs count="5"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veRR-Computer" refreshedDate="46279.495353240738" createdVersion="5" refreshedVersion="5" minRefreshableVersion="3" recordCount="48" xr:uid="{00000000-000A-0000-FFFF-FFFF07000000}">
  <cacheSource type="worksheet">
    <worksheetSource name="FinancialData"/>
  </cacheSource>
  <cacheFields count="10">
    <cacheField name="FiscalYear" numFmtId="0">
      <sharedItems containsSemiMixedTypes="0" containsString="0" containsNumber="1" containsInteger="1" minValue="2024" maxValue="2025"/>
    </cacheField>
    <cacheField name="Dept" numFmtId="0">
      <sharedItems count="6">
        <s v="Finance"/>
        <s v="HR"/>
        <s v="IT"/>
        <s v="Sales"/>
        <s v="Marketing"/>
        <s v="Operations"/>
      </sharedItems>
    </cacheField>
    <cacheField name="Quart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BudgetUSD" numFmtId="0">
      <sharedItems containsSemiMixedTypes="0" containsString="0" containsNumber="1" minValue="21211.21" maxValue="146937.60999999999"/>
    </cacheField>
    <cacheField name="ForecastUSD" numFmtId="0">
      <sharedItems containsSemiMixedTypes="0" containsString="0" containsNumber="1" minValue="22362.69" maxValue="142175.37"/>
    </cacheField>
    <cacheField name="ActualUSD" numFmtId="0">
      <sharedItems containsSemiMixedTypes="0" containsString="0" containsNumber="1" minValue="22368.41" maxValue="147123.70000000001"/>
    </cacheField>
    <cacheField name="VarianceUSD" numFmtId="0">
      <sharedItems containsSemiMixedTypes="0" containsString="0" containsNumber="1" minValue="-21609.34" maxValue="14507.63"/>
    </cacheField>
    <cacheField name="Notes" numFmtId="0">
      <sharedItems containsNonDate="0" containsString="0" containsBlank="1"/>
    </cacheField>
    <cacheField name="Variance %" numFmtId="10">
      <sharedItems containsSemiMixedTypes="0" containsString="0" containsNumber="1" minValue="-0.20354967182853378" maxValue="0.13860364331856467"/>
    </cacheField>
    <cacheField name="Budg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">
  <r>
    <n v="2024"/>
    <x v="0"/>
    <x v="0"/>
    <n v="41215.19"/>
    <n v="39758.93"/>
    <n v="37613.910000000003"/>
    <n v="-3601.28"/>
    <m/>
    <n v="-9.0577890300367739E-2"/>
    <s v="Below Budget"/>
  </r>
  <r>
    <n v="2024"/>
    <x v="0"/>
    <x v="1"/>
    <n v="79918.89"/>
    <n v="84614.59"/>
    <n v="86720.13"/>
    <n v="6801.24"/>
    <m/>
    <n v="8.0379045741402283E-2"/>
    <s v="Above Budget"/>
  </r>
  <r>
    <n v="2024"/>
    <x v="0"/>
    <x v="2"/>
    <n v="92014.18"/>
    <n v="100763.08"/>
    <n v="105980.31"/>
    <n v="13966.13"/>
    <m/>
    <n v="0.13860364331856467"/>
    <s v="Above Budget"/>
  </r>
  <r>
    <n v="2024"/>
    <x v="0"/>
    <x v="3"/>
    <n v="117680.6"/>
    <n v="106162.49"/>
    <n v="96071.26"/>
    <n v="-21609.34"/>
    <m/>
    <n v="-0.20354967182853378"/>
    <s v="Below Budget"/>
  </r>
  <r>
    <n v="2024"/>
    <x v="1"/>
    <x v="0"/>
    <n v="32925.71"/>
    <n v="30364.35"/>
    <n v="30596.03"/>
    <n v="-2329.6799999999998"/>
    <m/>
    <n v="-7.6724184775896737E-2"/>
    <s v="Below Budget"/>
  </r>
  <r>
    <n v="2024"/>
    <x v="1"/>
    <x v="1"/>
    <n v="75074.820000000007"/>
    <n v="68249.88"/>
    <n v="68953.81"/>
    <n v="-6121.01"/>
    <m/>
    <n v="-8.9685285893542965E-2"/>
    <s v="Below Budget"/>
  </r>
  <r>
    <n v="2024"/>
    <x v="1"/>
    <x v="2"/>
    <n v="42503.06"/>
    <n v="44444.3"/>
    <n v="42652.11"/>
    <n v="149.05000000000001"/>
    <m/>
    <n v="3.353635899316673E-3"/>
    <s v="Above Budget"/>
  </r>
  <r>
    <n v="2024"/>
    <x v="1"/>
    <x v="3"/>
    <n v="31047.85"/>
    <n v="32495.4"/>
    <n v="33408.69"/>
    <n v="2360.84"/>
    <m/>
    <n v="7.2651513752715766E-2"/>
    <s v="Above Budget"/>
  </r>
  <r>
    <n v="2024"/>
    <x v="2"/>
    <x v="0"/>
    <n v="26040.63"/>
    <n v="24585.53"/>
    <n v="22752.02"/>
    <n v="-3288.61"/>
    <m/>
    <n v="-0.13376201367226984"/>
    <s v="Below Budget"/>
  </r>
  <r>
    <n v="2024"/>
    <x v="2"/>
    <x v="1"/>
    <n v="125902.24"/>
    <n v="121557.94"/>
    <n v="119490.08"/>
    <n v="-6412.16"/>
    <m/>
    <n v="-5.2749824486989491E-2"/>
    <s v="Below Budget"/>
  </r>
  <r>
    <n v="2024"/>
    <x v="2"/>
    <x v="2"/>
    <n v="100055.73"/>
    <n v="92809.65"/>
    <n v="94502.07"/>
    <n v="-5553.66"/>
    <m/>
    <n v="-5.9839251629544989E-2"/>
    <s v="Below Budget"/>
  </r>
  <r>
    <n v="2024"/>
    <x v="2"/>
    <x v="3"/>
    <n v="72786.960000000006"/>
    <n v="70901.78"/>
    <n v="72262.039999999994"/>
    <n v="-524.91999999999996"/>
    <m/>
    <n v="-7.4034812666198217E-3"/>
    <s v="Below Budget"/>
  </r>
  <r>
    <n v="2024"/>
    <x v="3"/>
    <x v="0"/>
    <n v="93664.65"/>
    <n v="99038.18"/>
    <n v="105900.34"/>
    <n v="12235.69"/>
    <m/>
    <n v="0.12354518227212981"/>
    <s v="Above Budget"/>
  </r>
  <r>
    <n v="2024"/>
    <x v="3"/>
    <x v="1"/>
    <n v="115140.75"/>
    <n v="115151.74"/>
    <n v="124609.39"/>
    <n v="9468.64"/>
    <m/>
    <n v="8.2227502597876492E-2"/>
    <s v="Above Budget"/>
  </r>
  <r>
    <n v="2024"/>
    <x v="3"/>
    <x v="2"/>
    <n v="73898.42"/>
    <n v="73799.149999999994"/>
    <n v="78992.61"/>
    <n v="5094.1899999999996"/>
    <m/>
    <n v="6.9027759804821606E-2"/>
    <s v="Above Budget"/>
  </r>
  <r>
    <n v="2024"/>
    <x v="3"/>
    <x v="3"/>
    <n v="46637.67"/>
    <n v="49635.65"/>
    <n v="46802.25"/>
    <n v="164.58"/>
    <m/>
    <n v="3.3157619573834533E-3"/>
    <s v="Above Budget"/>
  </r>
  <r>
    <n v="2024"/>
    <x v="4"/>
    <x v="0"/>
    <n v="44332.15"/>
    <n v="41613.82"/>
    <n v="38572.49"/>
    <n v="-5759.66"/>
    <m/>
    <n v="-0.13840738485435847"/>
    <s v="Below Budget"/>
  </r>
  <r>
    <n v="2024"/>
    <x v="4"/>
    <x v="1"/>
    <n v="112743.3"/>
    <n v="119526.72"/>
    <n v="125960.5"/>
    <n v="13217.2"/>
    <m/>
    <n v="0.11057945871851918"/>
    <s v="Above Budget"/>
  </r>
  <r>
    <n v="2024"/>
    <x v="4"/>
    <x v="2"/>
    <n v="141475.81"/>
    <n v="133345.42000000001"/>
    <n v="140285.03"/>
    <n v="-1190.78"/>
    <m/>
    <n v="-8.9300404918294142E-3"/>
    <s v="Below Budget"/>
  </r>
  <r>
    <n v="2024"/>
    <x v="4"/>
    <x v="3"/>
    <n v="102519.44"/>
    <n v="107453.3"/>
    <n v="115251.53"/>
    <n v="12732.09"/>
    <m/>
    <n v="0.11848952056381702"/>
    <s v="Above Budget"/>
  </r>
  <r>
    <n v="2024"/>
    <x v="5"/>
    <x v="0"/>
    <n v="100318.84"/>
    <n v="99411.77"/>
    <n v="102349.27"/>
    <n v="2030.43"/>
    <m/>
    <n v="2.0424442699290033E-2"/>
    <s v="Above Budget"/>
  </r>
  <r>
    <n v="2024"/>
    <x v="5"/>
    <x v="1"/>
    <n v="51361.43"/>
    <n v="49600.67"/>
    <n v="50515.69"/>
    <n v="-845.74"/>
    <m/>
    <n v="-1.7050979351690209E-2"/>
    <s v="Below Budget"/>
  </r>
  <r>
    <n v="2024"/>
    <x v="5"/>
    <x v="2"/>
    <n v="29263.69"/>
    <n v="28094.51"/>
    <n v="28496.35"/>
    <n v="-767.34"/>
    <m/>
    <n v="-2.7312809513317729E-2"/>
    <s v="Below Budget"/>
  </r>
  <r>
    <n v="2024"/>
    <x v="5"/>
    <x v="3"/>
    <n v="146937.60999999999"/>
    <n v="139057.76"/>
    <n v="147123.70000000001"/>
    <n v="186.09"/>
    <m/>
    <n v="1.3382208946843383E-3"/>
    <s v="Above Budget"/>
  </r>
  <r>
    <n v="2025"/>
    <x v="0"/>
    <x v="0"/>
    <n v="70700.52"/>
    <n v="71487.460000000006"/>
    <n v="70006.17"/>
    <n v="-694.35"/>
    <m/>
    <n v="-9.7128923030696569E-3"/>
    <s v="Below Budget"/>
  </r>
  <r>
    <n v="2025"/>
    <x v="0"/>
    <x v="1"/>
    <n v="61495.92"/>
    <n v="56931.54"/>
    <n v="61359.25"/>
    <n v="-136.66999999999999"/>
    <m/>
    <n v="-2.4006025482535688E-3"/>
    <s v="Below Budget"/>
  </r>
  <r>
    <n v="2025"/>
    <x v="0"/>
    <x v="2"/>
    <n v="55254.78"/>
    <n v="57681.72"/>
    <n v="57575"/>
    <n v="2320.2199999999998"/>
    <m/>
    <n v="4.022452867216858E-2"/>
    <s v="Above Budget"/>
  </r>
  <r>
    <n v="2025"/>
    <x v="0"/>
    <x v="3"/>
    <n v="124523.7"/>
    <n v="112740.47"/>
    <n v="118711.72"/>
    <n v="-5811.98"/>
    <m/>
    <n v="-5.1551851788448282E-2"/>
    <s v="Below Budget"/>
  </r>
  <r>
    <n v="2025"/>
    <x v="1"/>
    <x v="0"/>
    <n v="81015.75"/>
    <n v="81988.100000000006"/>
    <n v="86451.22"/>
    <n v="5435.47"/>
    <m/>
    <n v="6.629584049392534E-2"/>
    <s v="Above Budget"/>
  </r>
  <r>
    <n v="2025"/>
    <x v="1"/>
    <x v="1"/>
    <n v="55099.41"/>
    <n v="51780.92"/>
    <n v="56227.09"/>
    <n v="1127.68"/>
    <m/>
    <n v="2.1777905838675716E-2"/>
    <s v="Above Budget"/>
  </r>
  <r>
    <n v="2025"/>
    <x v="1"/>
    <x v="2"/>
    <n v="120462.05"/>
    <n v="127306.15"/>
    <n v="128022.17"/>
    <n v="7560.12"/>
    <m/>
    <n v="5.9385347840618857E-2"/>
    <s v="Above Budget"/>
  </r>
  <r>
    <n v="2025"/>
    <x v="1"/>
    <x v="3"/>
    <n v="90267.18"/>
    <n v="85027.32"/>
    <n v="88147.9"/>
    <n v="-2119.2800000000002"/>
    <m/>
    <n v="-2.492469479221502E-2"/>
    <s v="Below Budget"/>
  </r>
  <r>
    <n v="2025"/>
    <x v="2"/>
    <x v="0"/>
    <n v="116604.87"/>
    <n v="125973.73"/>
    <n v="128463.24"/>
    <n v="11858.37"/>
    <m/>
    <n v="9.4133673742930385E-2"/>
    <s v="Above Budget"/>
  </r>
  <r>
    <n v="2025"/>
    <x v="2"/>
    <x v="1"/>
    <n v="48595.51"/>
    <n v="43972.66"/>
    <n v="42981.29"/>
    <n v="-5614.22"/>
    <m/>
    <n v="-0.12767524184345455"/>
    <s v="Below Budget"/>
  </r>
  <r>
    <n v="2025"/>
    <x v="2"/>
    <x v="2"/>
    <n v="28599.200000000001"/>
    <n v="28718.48"/>
    <n v="30923.94"/>
    <n v="2324.7399999999998"/>
    <m/>
    <n v="8.0949270295642375E-2"/>
    <s v="Above Budget"/>
  </r>
  <r>
    <n v="2025"/>
    <x v="2"/>
    <x v="3"/>
    <n v="42077.120000000003"/>
    <n v="39403.9"/>
    <n v="39330.25"/>
    <n v="-2746.87"/>
    <m/>
    <n v="-6.9710612401310532E-2"/>
    <s v="Below Budget"/>
  </r>
  <r>
    <n v="2025"/>
    <x v="3"/>
    <x v="0"/>
    <n v="89482.9"/>
    <n v="97911.07"/>
    <n v="98559.24"/>
    <n v="9076.34"/>
    <m/>
    <n v="9.2699834656081267E-2"/>
    <s v="Above Budget"/>
  </r>
  <r>
    <n v="2025"/>
    <x v="3"/>
    <x v="1"/>
    <n v="66730.62"/>
    <n v="63717.279999999999"/>
    <n v="67871.69"/>
    <n v="1141.07"/>
    <m/>
    <n v="1.7908328792440607E-2"/>
    <s v="Above Budget"/>
  </r>
  <r>
    <n v="2025"/>
    <x v="3"/>
    <x v="2"/>
    <n v="127969.04"/>
    <n v="117894.18"/>
    <n v="115938.14"/>
    <n v="-12030.9"/>
    <m/>
    <n v="-0.10204829449596239"/>
    <s v="Below Budget"/>
  </r>
  <r>
    <n v="2025"/>
    <x v="3"/>
    <x v="3"/>
    <n v="98859.83"/>
    <n v="100730.21"/>
    <n v="97863.73"/>
    <n v="-996.1"/>
    <m/>
    <n v="-9.8887910588094669E-3"/>
    <s v="Below Budget"/>
  </r>
  <r>
    <n v="2025"/>
    <x v="4"/>
    <x v="0"/>
    <n v="75571.7"/>
    <n v="80720.77"/>
    <n v="86587.65"/>
    <n v="11015.95"/>
    <m/>
    <n v="0.1364698329810283"/>
    <s v="Above Budget"/>
  </r>
  <r>
    <n v="2025"/>
    <x v="4"/>
    <x v="1"/>
    <n v="130984.44"/>
    <n v="142175.37"/>
    <n v="145492.07"/>
    <n v="14507.63"/>
    <m/>
    <n v="0.10204038857081926"/>
    <s v="Above Budget"/>
  </r>
  <r>
    <n v="2025"/>
    <x v="4"/>
    <x v="2"/>
    <n v="89085.04"/>
    <n v="89296.12"/>
    <n v="88359.56"/>
    <n v="-725.48"/>
    <m/>
    <n v="-8.1244291465295479E-3"/>
    <s v="Below Budget"/>
  </r>
  <r>
    <n v="2025"/>
    <x v="4"/>
    <x v="3"/>
    <n v="116081.08"/>
    <n v="119772.47"/>
    <n v="112381.38"/>
    <n v="-3699.7"/>
    <m/>
    <n v="-3.0889402214048019E-2"/>
    <s v="Below Budget"/>
  </r>
  <r>
    <n v="2025"/>
    <x v="5"/>
    <x v="0"/>
    <n v="64640.45"/>
    <n v="70051.16"/>
    <n v="66350.81"/>
    <n v="1710.36"/>
    <m/>
    <n v="2.4415869772891695E-2"/>
    <s v="Above Budget"/>
  </r>
  <r>
    <n v="2025"/>
    <x v="5"/>
    <x v="1"/>
    <n v="21211.21"/>
    <n v="22362.69"/>
    <n v="22368.41"/>
    <n v="1157.2"/>
    <m/>
    <n v="5.1746905224729231E-2"/>
    <s v="Above Budget"/>
  </r>
  <r>
    <n v="2025"/>
    <x v="5"/>
    <x v="2"/>
    <n v="37532.769999999997"/>
    <n v="38564.660000000003"/>
    <n v="37139"/>
    <n v="-393.77"/>
    <m/>
    <n v="-1.0210643630723049E-2"/>
    <s v="Below Budget"/>
  </r>
  <r>
    <n v="2025"/>
    <x v="5"/>
    <x v="3"/>
    <n v="28580.31"/>
    <n v="29613.63"/>
    <n v="28551.84"/>
    <n v="-28.47"/>
    <m/>
    <n v="-9.6138163406512471E-4"/>
    <s v="Below Budg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przestawna1" cacheId="0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B10" firstHeaderRow="1" firstDataRow="1" firstDataCol="1"/>
  <pivotFields count="10">
    <pivotField showAll="0"/>
    <pivotField axis="axisRow" showAll="0">
      <items count="7">
        <item x="0"/>
        <item x="1"/>
        <item x="2"/>
        <item x="4"/>
        <item x="5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0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z VarianceUS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ela przestawna2" cacheId="0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C10" firstHeaderRow="0" firstDataRow="1" firstDataCol="1"/>
  <pivotFields count="10">
    <pivotField showAll="0"/>
    <pivotField axis="axisRow" showAll="0">
      <items count="7">
        <item x="0"/>
        <item x="1"/>
        <item x="2"/>
        <item x="4"/>
        <item x="5"/>
        <item x="3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numFmtId="10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BudgetUSD" fld="3" baseField="0" baseItem="0"/>
    <dataField name="Suma z ActualUS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Tabela przestawna3" cacheId="0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B8" firstHeaderRow="1" firstDataRow="1" firstDataCol="1"/>
  <pivotFields count="10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numFmtId="10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z VarianceUS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Tabela przestawna4" cacheId="0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C8" firstHeaderRow="0" firstDataRow="1" firstDataCol="1"/>
  <pivotFields count="10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  <pivotField dataField="1" showAll="0"/>
    <pivotField showAll="0"/>
    <pivotField showAll="0"/>
    <pivotField numFmtId="10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BudgetUSD" fld="3" baseField="0" baseItem="0"/>
    <dataField name="Suma z ActualUS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Tabela przestawna5" cacheId="0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C8" firstHeaderRow="0" firstDataRow="1" firstDataCol="1"/>
  <pivotFields count="10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dataField="1" showAll="0"/>
    <pivotField showAll="0"/>
    <pivotField showAll="0"/>
    <pivotField numFmtId="10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ForecastUSD" fld="4" baseField="0" baseItem="0"/>
    <dataField name="Suma z ActualUS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Data" displayName="FinancialData" ref="A1:J49" totalsRowShown="0" headerRowDxfId="4" headerRowBorderDxfId="3" tableBorderDxfId="2">
  <autoFilter ref="A1:J49" xr:uid="{00000000-0009-0000-0100-000001000000}"/>
  <tableColumns count="10">
    <tableColumn id="1" xr3:uid="{00000000-0010-0000-0000-000001000000}" name="FiscalYear"/>
    <tableColumn id="2" xr3:uid="{00000000-0010-0000-0000-000002000000}" name="Dept"/>
    <tableColumn id="3" xr3:uid="{00000000-0010-0000-0000-000003000000}" name="Quarter"/>
    <tableColumn id="4" xr3:uid="{00000000-0010-0000-0000-000004000000}" name="BudgetUSD"/>
    <tableColumn id="5" xr3:uid="{00000000-0010-0000-0000-000005000000}" name="ForecastUSD"/>
    <tableColumn id="6" xr3:uid="{00000000-0010-0000-0000-000006000000}" name="ActualUSD"/>
    <tableColumn id="7" xr3:uid="{00000000-0010-0000-0000-000007000000}" name="VarianceUSD"/>
    <tableColumn id="8" xr3:uid="{00000000-0010-0000-0000-000008000000}" name="Notes"/>
    <tableColumn id="9" xr3:uid="{00000000-0010-0000-0000-000009000000}" name="Variance %" dataDxfId="1">
      <calculatedColumnFormula>G2/E2</calculatedColumnFormula>
    </tableColumn>
    <tableColumn id="10" xr3:uid="{00000000-0010-0000-0000-00000A000000}" name="Budget Status" dataDxfId="0">
      <calculatedColumnFormula>IF(G2&gt;0,"Above Budget",IF(G2&lt;0,"Below Budget","On Budget"))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opLeftCell="A2" workbookViewId="0">
      <selection activeCell="C15" sqref="C15"/>
    </sheetView>
  </sheetViews>
  <sheetFormatPr defaultRowHeight="15" x14ac:dyDescent="0.25"/>
  <cols>
    <col min="1" max="1" width="12" customWidth="1"/>
    <col min="3" max="3" width="10" customWidth="1"/>
    <col min="4" max="4" width="13.140625" customWidth="1"/>
    <col min="5" max="5" width="14.28515625" customWidth="1"/>
    <col min="6" max="6" width="12.42578125" customWidth="1"/>
    <col min="7" max="7" width="14.5703125" customWidth="1"/>
    <col min="10" max="10" width="13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14</v>
      </c>
      <c r="J1" s="2" t="s">
        <v>15</v>
      </c>
    </row>
    <row r="2" spans="1:10" x14ac:dyDescent="0.25">
      <c r="A2">
        <v>2024</v>
      </c>
      <c r="B2" t="s">
        <v>8</v>
      </c>
      <c r="C2">
        <v>1</v>
      </c>
      <c r="D2">
        <v>41215.19</v>
      </c>
      <c r="E2">
        <v>39758.93</v>
      </c>
      <c r="F2">
        <v>37613.910000000003</v>
      </c>
      <c r="G2">
        <v>-3601.28</v>
      </c>
      <c r="I2" s="3">
        <f t="shared" ref="I2:I49" si="0">G2/E2</f>
        <v>-9.0577890300367739E-2</v>
      </c>
      <c r="J2" t="str">
        <f t="shared" ref="J2:J49" si="1">IF(G2&gt;0,"Above Budget",IF(G2&lt;0,"Below Budget","On Budget"))</f>
        <v>Below Budget</v>
      </c>
    </row>
    <row r="3" spans="1:10" x14ac:dyDescent="0.25">
      <c r="A3">
        <v>2024</v>
      </c>
      <c r="B3" t="s">
        <v>8</v>
      </c>
      <c r="C3">
        <v>2</v>
      </c>
      <c r="D3">
        <v>79918.89</v>
      </c>
      <c r="E3">
        <v>84614.59</v>
      </c>
      <c r="F3">
        <v>86720.13</v>
      </c>
      <c r="G3">
        <v>6801.24</v>
      </c>
      <c r="I3" s="3">
        <f t="shared" si="0"/>
        <v>8.0379045741402283E-2</v>
      </c>
      <c r="J3" t="str">
        <f t="shared" si="1"/>
        <v>Above Budget</v>
      </c>
    </row>
    <row r="4" spans="1:10" x14ac:dyDescent="0.25">
      <c r="A4">
        <v>2024</v>
      </c>
      <c r="B4" t="s">
        <v>8</v>
      </c>
      <c r="C4">
        <v>3</v>
      </c>
      <c r="D4">
        <v>92014.18</v>
      </c>
      <c r="E4">
        <v>100763.08</v>
      </c>
      <c r="F4">
        <v>105980.31</v>
      </c>
      <c r="G4">
        <v>13966.13</v>
      </c>
      <c r="I4" s="3">
        <f t="shared" si="0"/>
        <v>0.13860364331856467</v>
      </c>
      <c r="J4" t="str">
        <f t="shared" si="1"/>
        <v>Above Budget</v>
      </c>
    </row>
    <row r="5" spans="1:10" x14ac:dyDescent="0.25">
      <c r="A5">
        <v>2024</v>
      </c>
      <c r="B5" t="s">
        <v>8</v>
      </c>
      <c r="C5">
        <v>4</v>
      </c>
      <c r="D5">
        <v>117680.6</v>
      </c>
      <c r="E5">
        <v>106162.49</v>
      </c>
      <c r="F5">
        <v>96071.26</v>
      </c>
      <c r="G5">
        <v>-21609.34</v>
      </c>
      <c r="I5" s="3">
        <f t="shared" si="0"/>
        <v>-0.20354967182853378</v>
      </c>
      <c r="J5" t="str">
        <f t="shared" si="1"/>
        <v>Below Budget</v>
      </c>
    </row>
    <row r="6" spans="1:10" x14ac:dyDescent="0.25">
      <c r="A6">
        <v>2024</v>
      </c>
      <c r="B6" t="s">
        <v>9</v>
      </c>
      <c r="C6">
        <v>1</v>
      </c>
      <c r="D6">
        <v>32925.71</v>
      </c>
      <c r="E6">
        <v>30364.35</v>
      </c>
      <c r="F6">
        <v>30596.03</v>
      </c>
      <c r="G6">
        <v>-2329.6799999999998</v>
      </c>
      <c r="I6" s="3">
        <f t="shared" si="0"/>
        <v>-7.6724184775896737E-2</v>
      </c>
      <c r="J6" t="str">
        <f t="shared" si="1"/>
        <v>Below Budget</v>
      </c>
    </row>
    <row r="7" spans="1:10" x14ac:dyDescent="0.25">
      <c r="A7">
        <v>2024</v>
      </c>
      <c r="B7" t="s">
        <v>9</v>
      </c>
      <c r="C7">
        <v>2</v>
      </c>
      <c r="D7">
        <v>75074.820000000007</v>
      </c>
      <c r="E7">
        <v>68249.88</v>
      </c>
      <c r="F7">
        <v>68953.81</v>
      </c>
      <c r="G7">
        <v>-6121.01</v>
      </c>
      <c r="I7" s="3">
        <f t="shared" si="0"/>
        <v>-8.9685285893542965E-2</v>
      </c>
      <c r="J7" t="str">
        <f t="shared" si="1"/>
        <v>Below Budget</v>
      </c>
    </row>
    <row r="8" spans="1:10" x14ac:dyDescent="0.25">
      <c r="A8">
        <v>2024</v>
      </c>
      <c r="B8" t="s">
        <v>9</v>
      </c>
      <c r="C8">
        <v>3</v>
      </c>
      <c r="D8">
        <v>42503.06</v>
      </c>
      <c r="E8">
        <v>44444.3</v>
      </c>
      <c r="F8">
        <v>42652.11</v>
      </c>
      <c r="G8">
        <v>149.05000000000001</v>
      </c>
      <c r="I8" s="3">
        <f t="shared" si="0"/>
        <v>3.353635899316673E-3</v>
      </c>
      <c r="J8" t="str">
        <f t="shared" si="1"/>
        <v>Above Budget</v>
      </c>
    </row>
    <row r="9" spans="1:10" x14ac:dyDescent="0.25">
      <c r="A9">
        <v>2024</v>
      </c>
      <c r="B9" t="s">
        <v>9</v>
      </c>
      <c r="C9">
        <v>4</v>
      </c>
      <c r="D9">
        <v>31047.85</v>
      </c>
      <c r="E9">
        <v>32495.4</v>
      </c>
      <c r="F9">
        <v>33408.69</v>
      </c>
      <c r="G9">
        <v>2360.84</v>
      </c>
      <c r="I9" s="3">
        <f t="shared" si="0"/>
        <v>7.2651513752715766E-2</v>
      </c>
      <c r="J9" t="str">
        <f t="shared" si="1"/>
        <v>Above Budget</v>
      </c>
    </row>
    <row r="10" spans="1:10" x14ac:dyDescent="0.25">
      <c r="A10">
        <v>2024</v>
      </c>
      <c r="B10" t="s">
        <v>10</v>
      </c>
      <c r="C10">
        <v>1</v>
      </c>
      <c r="D10">
        <v>26040.63</v>
      </c>
      <c r="E10">
        <v>24585.53</v>
      </c>
      <c r="F10">
        <v>22752.02</v>
      </c>
      <c r="G10">
        <v>-3288.61</v>
      </c>
      <c r="I10" s="3">
        <f t="shared" si="0"/>
        <v>-0.13376201367226984</v>
      </c>
      <c r="J10" t="str">
        <f t="shared" si="1"/>
        <v>Below Budget</v>
      </c>
    </row>
    <row r="11" spans="1:10" x14ac:dyDescent="0.25">
      <c r="A11">
        <v>2024</v>
      </c>
      <c r="B11" t="s">
        <v>10</v>
      </c>
      <c r="C11">
        <v>2</v>
      </c>
      <c r="D11">
        <v>125902.24</v>
      </c>
      <c r="E11">
        <v>121557.94</v>
      </c>
      <c r="F11">
        <v>119490.08</v>
      </c>
      <c r="G11">
        <v>-6412.16</v>
      </c>
      <c r="I11" s="3">
        <f t="shared" si="0"/>
        <v>-5.2749824486989491E-2</v>
      </c>
      <c r="J11" t="str">
        <f t="shared" si="1"/>
        <v>Below Budget</v>
      </c>
    </row>
    <row r="12" spans="1:10" x14ac:dyDescent="0.25">
      <c r="A12">
        <v>2024</v>
      </c>
      <c r="B12" t="s">
        <v>10</v>
      </c>
      <c r="C12">
        <v>3</v>
      </c>
      <c r="D12">
        <v>100055.73</v>
      </c>
      <c r="E12">
        <v>92809.65</v>
      </c>
      <c r="F12">
        <v>94502.07</v>
      </c>
      <c r="G12">
        <v>-5553.66</v>
      </c>
      <c r="I12" s="3">
        <f t="shared" si="0"/>
        <v>-5.9839251629544989E-2</v>
      </c>
      <c r="J12" t="str">
        <f t="shared" si="1"/>
        <v>Below Budget</v>
      </c>
    </row>
    <row r="13" spans="1:10" x14ac:dyDescent="0.25">
      <c r="A13">
        <v>2024</v>
      </c>
      <c r="B13" t="s">
        <v>10</v>
      </c>
      <c r="C13">
        <v>4</v>
      </c>
      <c r="D13">
        <v>72786.960000000006</v>
      </c>
      <c r="E13">
        <v>70901.78</v>
      </c>
      <c r="F13">
        <v>72262.039999999994</v>
      </c>
      <c r="G13">
        <v>-524.91999999999996</v>
      </c>
      <c r="I13" s="3">
        <f t="shared" si="0"/>
        <v>-7.4034812666198217E-3</v>
      </c>
      <c r="J13" t="str">
        <f t="shared" si="1"/>
        <v>Below Budget</v>
      </c>
    </row>
    <row r="14" spans="1:10" x14ac:dyDescent="0.25">
      <c r="A14">
        <v>2024</v>
      </c>
      <c r="B14" t="s">
        <v>11</v>
      </c>
      <c r="C14">
        <v>1</v>
      </c>
      <c r="D14">
        <v>93664.65</v>
      </c>
      <c r="E14">
        <v>99038.18</v>
      </c>
      <c r="F14">
        <v>105900.34</v>
      </c>
      <c r="G14">
        <v>12235.69</v>
      </c>
      <c r="I14" s="3">
        <f t="shared" si="0"/>
        <v>0.12354518227212981</v>
      </c>
      <c r="J14" t="str">
        <f t="shared" si="1"/>
        <v>Above Budget</v>
      </c>
    </row>
    <row r="15" spans="1:10" x14ac:dyDescent="0.25">
      <c r="A15">
        <v>2024</v>
      </c>
      <c r="B15" t="s">
        <v>11</v>
      </c>
      <c r="C15">
        <v>2</v>
      </c>
      <c r="D15">
        <v>115140.75</v>
      </c>
      <c r="E15">
        <v>115151.74</v>
      </c>
      <c r="F15">
        <v>124609.39</v>
      </c>
      <c r="G15">
        <v>9468.64</v>
      </c>
      <c r="I15" s="3">
        <f t="shared" si="0"/>
        <v>8.2227502597876492E-2</v>
      </c>
      <c r="J15" t="str">
        <f t="shared" si="1"/>
        <v>Above Budget</v>
      </c>
    </row>
    <row r="16" spans="1:10" x14ac:dyDescent="0.25">
      <c r="A16">
        <v>2024</v>
      </c>
      <c r="B16" t="s">
        <v>11</v>
      </c>
      <c r="C16">
        <v>3</v>
      </c>
      <c r="D16">
        <v>73898.42</v>
      </c>
      <c r="E16">
        <v>73799.149999999994</v>
      </c>
      <c r="F16">
        <v>78992.61</v>
      </c>
      <c r="G16">
        <v>5094.1899999999996</v>
      </c>
      <c r="I16" s="3">
        <f t="shared" si="0"/>
        <v>6.9027759804821606E-2</v>
      </c>
      <c r="J16" t="str">
        <f t="shared" si="1"/>
        <v>Above Budget</v>
      </c>
    </row>
    <row r="17" spans="1:10" x14ac:dyDescent="0.25">
      <c r="A17">
        <v>2024</v>
      </c>
      <c r="B17" t="s">
        <v>11</v>
      </c>
      <c r="C17">
        <v>4</v>
      </c>
      <c r="D17">
        <v>46637.67</v>
      </c>
      <c r="E17">
        <v>49635.65</v>
      </c>
      <c r="F17">
        <v>46802.25</v>
      </c>
      <c r="G17">
        <v>164.58</v>
      </c>
      <c r="I17" s="3">
        <f t="shared" si="0"/>
        <v>3.3157619573834533E-3</v>
      </c>
      <c r="J17" t="str">
        <f t="shared" si="1"/>
        <v>Above Budget</v>
      </c>
    </row>
    <row r="18" spans="1:10" x14ac:dyDescent="0.25">
      <c r="A18">
        <v>2024</v>
      </c>
      <c r="B18" t="s">
        <v>12</v>
      </c>
      <c r="C18">
        <v>1</v>
      </c>
      <c r="D18">
        <v>44332.15</v>
      </c>
      <c r="E18">
        <v>41613.82</v>
      </c>
      <c r="F18">
        <v>38572.49</v>
      </c>
      <c r="G18">
        <v>-5759.66</v>
      </c>
      <c r="I18" s="3">
        <f t="shared" si="0"/>
        <v>-0.13840738485435847</v>
      </c>
      <c r="J18" t="str">
        <f t="shared" si="1"/>
        <v>Below Budget</v>
      </c>
    </row>
    <row r="19" spans="1:10" x14ac:dyDescent="0.25">
      <c r="A19">
        <v>2024</v>
      </c>
      <c r="B19" t="s">
        <v>12</v>
      </c>
      <c r="C19">
        <v>2</v>
      </c>
      <c r="D19">
        <v>112743.3</v>
      </c>
      <c r="E19">
        <v>119526.72</v>
      </c>
      <c r="F19">
        <v>125960.5</v>
      </c>
      <c r="G19">
        <v>13217.2</v>
      </c>
      <c r="I19" s="3">
        <f t="shared" si="0"/>
        <v>0.11057945871851918</v>
      </c>
      <c r="J19" t="str">
        <f t="shared" si="1"/>
        <v>Above Budget</v>
      </c>
    </row>
    <row r="20" spans="1:10" x14ac:dyDescent="0.25">
      <c r="A20">
        <v>2024</v>
      </c>
      <c r="B20" t="s">
        <v>12</v>
      </c>
      <c r="C20">
        <v>3</v>
      </c>
      <c r="D20">
        <v>141475.81</v>
      </c>
      <c r="E20">
        <v>133345.42000000001</v>
      </c>
      <c r="F20">
        <v>140285.03</v>
      </c>
      <c r="G20">
        <v>-1190.78</v>
      </c>
      <c r="I20" s="3">
        <f t="shared" si="0"/>
        <v>-8.9300404918294142E-3</v>
      </c>
      <c r="J20" t="str">
        <f t="shared" si="1"/>
        <v>Below Budget</v>
      </c>
    </row>
    <row r="21" spans="1:10" x14ac:dyDescent="0.25">
      <c r="A21">
        <v>2024</v>
      </c>
      <c r="B21" t="s">
        <v>12</v>
      </c>
      <c r="C21">
        <v>4</v>
      </c>
      <c r="D21">
        <v>102519.44</v>
      </c>
      <c r="E21">
        <v>107453.3</v>
      </c>
      <c r="F21">
        <v>115251.53</v>
      </c>
      <c r="G21">
        <v>12732.09</v>
      </c>
      <c r="I21" s="3">
        <f t="shared" si="0"/>
        <v>0.11848952056381702</v>
      </c>
      <c r="J21" t="str">
        <f t="shared" si="1"/>
        <v>Above Budget</v>
      </c>
    </row>
    <row r="22" spans="1:10" x14ac:dyDescent="0.25">
      <c r="A22">
        <v>2024</v>
      </c>
      <c r="B22" t="s">
        <v>13</v>
      </c>
      <c r="C22">
        <v>1</v>
      </c>
      <c r="D22">
        <v>100318.84</v>
      </c>
      <c r="E22">
        <v>99411.77</v>
      </c>
      <c r="F22">
        <v>102349.27</v>
      </c>
      <c r="G22">
        <v>2030.43</v>
      </c>
      <c r="I22" s="3">
        <f t="shared" si="0"/>
        <v>2.0424442699290033E-2</v>
      </c>
      <c r="J22" t="str">
        <f t="shared" si="1"/>
        <v>Above Budget</v>
      </c>
    </row>
    <row r="23" spans="1:10" x14ac:dyDescent="0.25">
      <c r="A23">
        <v>2024</v>
      </c>
      <c r="B23" t="s">
        <v>13</v>
      </c>
      <c r="C23">
        <v>2</v>
      </c>
      <c r="D23">
        <v>51361.43</v>
      </c>
      <c r="E23">
        <v>49600.67</v>
      </c>
      <c r="F23">
        <v>50515.69</v>
      </c>
      <c r="G23">
        <v>-845.74</v>
      </c>
      <c r="I23" s="3">
        <f t="shared" si="0"/>
        <v>-1.7050979351690209E-2</v>
      </c>
      <c r="J23" t="str">
        <f t="shared" si="1"/>
        <v>Below Budget</v>
      </c>
    </row>
    <row r="24" spans="1:10" x14ac:dyDescent="0.25">
      <c r="A24">
        <v>2024</v>
      </c>
      <c r="B24" t="s">
        <v>13</v>
      </c>
      <c r="C24">
        <v>3</v>
      </c>
      <c r="D24">
        <v>29263.69</v>
      </c>
      <c r="E24">
        <v>28094.51</v>
      </c>
      <c r="F24">
        <v>28496.35</v>
      </c>
      <c r="G24">
        <v>-767.34</v>
      </c>
      <c r="I24" s="3">
        <f t="shared" si="0"/>
        <v>-2.7312809513317729E-2</v>
      </c>
      <c r="J24" t="str">
        <f t="shared" si="1"/>
        <v>Below Budget</v>
      </c>
    </row>
    <row r="25" spans="1:10" x14ac:dyDescent="0.25">
      <c r="A25">
        <v>2024</v>
      </c>
      <c r="B25" t="s">
        <v>13</v>
      </c>
      <c r="C25">
        <v>4</v>
      </c>
      <c r="D25">
        <v>146937.60999999999</v>
      </c>
      <c r="E25">
        <v>139057.76</v>
      </c>
      <c r="F25">
        <v>147123.70000000001</v>
      </c>
      <c r="G25">
        <v>186.09</v>
      </c>
      <c r="I25" s="3">
        <f t="shared" si="0"/>
        <v>1.3382208946843383E-3</v>
      </c>
      <c r="J25" t="str">
        <f t="shared" si="1"/>
        <v>Above Budget</v>
      </c>
    </row>
    <row r="26" spans="1:10" x14ac:dyDescent="0.25">
      <c r="A26">
        <v>2025</v>
      </c>
      <c r="B26" t="s">
        <v>8</v>
      </c>
      <c r="C26">
        <v>1</v>
      </c>
      <c r="D26">
        <v>70700.52</v>
      </c>
      <c r="E26">
        <v>71487.460000000006</v>
      </c>
      <c r="F26">
        <v>70006.17</v>
      </c>
      <c r="G26">
        <v>-694.35</v>
      </c>
      <c r="I26" s="3">
        <f t="shared" si="0"/>
        <v>-9.7128923030696569E-3</v>
      </c>
      <c r="J26" t="str">
        <f t="shared" si="1"/>
        <v>Below Budget</v>
      </c>
    </row>
    <row r="27" spans="1:10" x14ac:dyDescent="0.25">
      <c r="A27">
        <v>2025</v>
      </c>
      <c r="B27" t="s">
        <v>8</v>
      </c>
      <c r="C27">
        <v>2</v>
      </c>
      <c r="D27">
        <v>61495.92</v>
      </c>
      <c r="E27">
        <v>56931.54</v>
      </c>
      <c r="F27">
        <v>61359.25</v>
      </c>
      <c r="G27">
        <v>-136.66999999999999</v>
      </c>
      <c r="I27" s="3">
        <f t="shared" si="0"/>
        <v>-2.4006025482535688E-3</v>
      </c>
      <c r="J27" t="str">
        <f t="shared" si="1"/>
        <v>Below Budget</v>
      </c>
    </row>
    <row r="28" spans="1:10" x14ac:dyDescent="0.25">
      <c r="A28">
        <v>2025</v>
      </c>
      <c r="B28" t="s">
        <v>8</v>
      </c>
      <c r="C28">
        <v>3</v>
      </c>
      <c r="D28">
        <v>55254.78</v>
      </c>
      <c r="E28">
        <v>57681.72</v>
      </c>
      <c r="F28">
        <v>57575</v>
      </c>
      <c r="G28">
        <v>2320.2199999999998</v>
      </c>
      <c r="I28" s="3">
        <f t="shared" si="0"/>
        <v>4.022452867216858E-2</v>
      </c>
      <c r="J28" t="str">
        <f t="shared" si="1"/>
        <v>Above Budget</v>
      </c>
    </row>
    <row r="29" spans="1:10" x14ac:dyDescent="0.25">
      <c r="A29">
        <v>2025</v>
      </c>
      <c r="B29" t="s">
        <v>8</v>
      </c>
      <c r="C29">
        <v>4</v>
      </c>
      <c r="D29">
        <v>124523.7</v>
      </c>
      <c r="E29">
        <v>112740.47</v>
      </c>
      <c r="F29">
        <v>118711.72</v>
      </c>
      <c r="G29">
        <v>-5811.98</v>
      </c>
      <c r="I29" s="3">
        <f t="shared" si="0"/>
        <v>-5.1551851788448282E-2</v>
      </c>
      <c r="J29" t="str">
        <f t="shared" si="1"/>
        <v>Below Budget</v>
      </c>
    </row>
    <row r="30" spans="1:10" x14ac:dyDescent="0.25">
      <c r="A30">
        <v>2025</v>
      </c>
      <c r="B30" t="s">
        <v>9</v>
      </c>
      <c r="C30">
        <v>1</v>
      </c>
      <c r="D30">
        <v>81015.75</v>
      </c>
      <c r="E30">
        <v>81988.100000000006</v>
      </c>
      <c r="F30">
        <v>86451.22</v>
      </c>
      <c r="G30">
        <v>5435.47</v>
      </c>
      <c r="I30" s="3">
        <f t="shared" si="0"/>
        <v>6.629584049392534E-2</v>
      </c>
      <c r="J30" t="str">
        <f t="shared" si="1"/>
        <v>Above Budget</v>
      </c>
    </row>
    <row r="31" spans="1:10" x14ac:dyDescent="0.25">
      <c r="A31">
        <v>2025</v>
      </c>
      <c r="B31" t="s">
        <v>9</v>
      </c>
      <c r="C31">
        <v>2</v>
      </c>
      <c r="D31">
        <v>55099.41</v>
      </c>
      <c r="E31">
        <v>51780.92</v>
      </c>
      <c r="F31">
        <v>56227.09</v>
      </c>
      <c r="G31">
        <v>1127.68</v>
      </c>
      <c r="I31" s="3">
        <f t="shared" si="0"/>
        <v>2.1777905838675716E-2</v>
      </c>
      <c r="J31" t="str">
        <f t="shared" si="1"/>
        <v>Above Budget</v>
      </c>
    </row>
    <row r="32" spans="1:10" x14ac:dyDescent="0.25">
      <c r="A32">
        <v>2025</v>
      </c>
      <c r="B32" t="s">
        <v>9</v>
      </c>
      <c r="C32">
        <v>3</v>
      </c>
      <c r="D32">
        <v>120462.05</v>
      </c>
      <c r="E32">
        <v>127306.15</v>
      </c>
      <c r="F32">
        <v>128022.17</v>
      </c>
      <c r="G32">
        <v>7560.12</v>
      </c>
      <c r="I32" s="3">
        <f t="shared" si="0"/>
        <v>5.9385347840618857E-2</v>
      </c>
      <c r="J32" t="str">
        <f t="shared" si="1"/>
        <v>Above Budget</v>
      </c>
    </row>
    <row r="33" spans="1:10" x14ac:dyDescent="0.25">
      <c r="A33">
        <v>2025</v>
      </c>
      <c r="B33" t="s">
        <v>9</v>
      </c>
      <c r="C33">
        <v>4</v>
      </c>
      <c r="D33">
        <v>90267.18</v>
      </c>
      <c r="E33">
        <v>85027.32</v>
      </c>
      <c r="F33">
        <v>88147.9</v>
      </c>
      <c r="G33">
        <v>-2119.2800000000002</v>
      </c>
      <c r="I33" s="3">
        <f t="shared" si="0"/>
        <v>-2.492469479221502E-2</v>
      </c>
      <c r="J33" t="str">
        <f t="shared" si="1"/>
        <v>Below Budget</v>
      </c>
    </row>
    <row r="34" spans="1:10" x14ac:dyDescent="0.25">
      <c r="A34">
        <v>2025</v>
      </c>
      <c r="B34" t="s">
        <v>10</v>
      </c>
      <c r="C34">
        <v>1</v>
      </c>
      <c r="D34">
        <v>116604.87</v>
      </c>
      <c r="E34">
        <v>125973.73</v>
      </c>
      <c r="F34">
        <v>128463.24</v>
      </c>
      <c r="G34">
        <v>11858.37</v>
      </c>
      <c r="I34" s="3">
        <f t="shared" si="0"/>
        <v>9.4133673742930385E-2</v>
      </c>
      <c r="J34" t="str">
        <f t="shared" si="1"/>
        <v>Above Budget</v>
      </c>
    </row>
    <row r="35" spans="1:10" x14ac:dyDescent="0.25">
      <c r="A35">
        <v>2025</v>
      </c>
      <c r="B35" t="s">
        <v>10</v>
      </c>
      <c r="C35">
        <v>2</v>
      </c>
      <c r="D35">
        <v>48595.51</v>
      </c>
      <c r="E35">
        <v>43972.66</v>
      </c>
      <c r="F35">
        <v>42981.29</v>
      </c>
      <c r="G35">
        <v>-5614.22</v>
      </c>
      <c r="I35" s="3">
        <f t="shared" si="0"/>
        <v>-0.12767524184345455</v>
      </c>
      <c r="J35" t="str">
        <f t="shared" si="1"/>
        <v>Below Budget</v>
      </c>
    </row>
    <row r="36" spans="1:10" x14ac:dyDescent="0.25">
      <c r="A36">
        <v>2025</v>
      </c>
      <c r="B36" t="s">
        <v>10</v>
      </c>
      <c r="C36">
        <v>3</v>
      </c>
      <c r="D36">
        <v>28599.200000000001</v>
      </c>
      <c r="E36">
        <v>28718.48</v>
      </c>
      <c r="F36">
        <v>30923.94</v>
      </c>
      <c r="G36">
        <v>2324.7399999999998</v>
      </c>
      <c r="I36" s="3">
        <f t="shared" si="0"/>
        <v>8.0949270295642375E-2</v>
      </c>
      <c r="J36" t="str">
        <f t="shared" si="1"/>
        <v>Above Budget</v>
      </c>
    </row>
    <row r="37" spans="1:10" x14ac:dyDescent="0.25">
      <c r="A37">
        <v>2025</v>
      </c>
      <c r="B37" t="s">
        <v>10</v>
      </c>
      <c r="C37">
        <v>4</v>
      </c>
      <c r="D37">
        <v>42077.120000000003</v>
      </c>
      <c r="E37">
        <v>39403.9</v>
      </c>
      <c r="F37">
        <v>39330.25</v>
      </c>
      <c r="G37">
        <v>-2746.87</v>
      </c>
      <c r="I37" s="3">
        <f t="shared" si="0"/>
        <v>-6.9710612401310532E-2</v>
      </c>
      <c r="J37" t="str">
        <f t="shared" si="1"/>
        <v>Below Budget</v>
      </c>
    </row>
    <row r="38" spans="1:10" x14ac:dyDescent="0.25">
      <c r="A38">
        <v>2025</v>
      </c>
      <c r="B38" t="s">
        <v>11</v>
      </c>
      <c r="C38">
        <v>1</v>
      </c>
      <c r="D38">
        <v>89482.9</v>
      </c>
      <c r="E38">
        <v>97911.07</v>
      </c>
      <c r="F38">
        <v>98559.24</v>
      </c>
      <c r="G38">
        <v>9076.34</v>
      </c>
      <c r="I38" s="3">
        <f t="shared" si="0"/>
        <v>9.2699834656081267E-2</v>
      </c>
      <c r="J38" t="str">
        <f t="shared" si="1"/>
        <v>Above Budget</v>
      </c>
    </row>
    <row r="39" spans="1:10" x14ac:dyDescent="0.25">
      <c r="A39">
        <v>2025</v>
      </c>
      <c r="B39" t="s">
        <v>11</v>
      </c>
      <c r="C39">
        <v>2</v>
      </c>
      <c r="D39">
        <v>66730.62</v>
      </c>
      <c r="E39">
        <v>63717.279999999999</v>
      </c>
      <c r="F39">
        <v>67871.69</v>
      </c>
      <c r="G39">
        <v>1141.07</v>
      </c>
      <c r="I39" s="3">
        <f t="shared" si="0"/>
        <v>1.7908328792440607E-2</v>
      </c>
      <c r="J39" t="str">
        <f t="shared" si="1"/>
        <v>Above Budget</v>
      </c>
    </row>
    <row r="40" spans="1:10" x14ac:dyDescent="0.25">
      <c r="A40">
        <v>2025</v>
      </c>
      <c r="B40" t="s">
        <v>11</v>
      </c>
      <c r="C40">
        <v>3</v>
      </c>
      <c r="D40">
        <v>127969.04</v>
      </c>
      <c r="E40">
        <v>117894.18</v>
      </c>
      <c r="F40">
        <v>115938.14</v>
      </c>
      <c r="G40">
        <v>-12030.9</v>
      </c>
      <c r="I40" s="3">
        <f t="shared" si="0"/>
        <v>-0.10204829449596239</v>
      </c>
      <c r="J40" t="str">
        <f t="shared" si="1"/>
        <v>Below Budget</v>
      </c>
    </row>
    <row r="41" spans="1:10" x14ac:dyDescent="0.25">
      <c r="A41">
        <v>2025</v>
      </c>
      <c r="B41" t="s">
        <v>11</v>
      </c>
      <c r="C41">
        <v>4</v>
      </c>
      <c r="D41">
        <v>98859.83</v>
      </c>
      <c r="E41">
        <v>100730.21</v>
      </c>
      <c r="F41">
        <v>97863.73</v>
      </c>
      <c r="G41">
        <v>-996.1</v>
      </c>
      <c r="I41" s="3">
        <f t="shared" si="0"/>
        <v>-9.8887910588094669E-3</v>
      </c>
      <c r="J41" t="str">
        <f t="shared" si="1"/>
        <v>Below Budget</v>
      </c>
    </row>
    <row r="42" spans="1:10" x14ac:dyDescent="0.25">
      <c r="A42">
        <v>2025</v>
      </c>
      <c r="B42" t="s">
        <v>12</v>
      </c>
      <c r="C42">
        <v>1</v>
      </c>
      <c r="D42">
        <v>75571.7</v>
      </c>
      <c r="E42">
        <v>80720.77</v>
      </c>
      <c r="F42">
        <v>86587.65</v>
      </c>
      <c r="G42">
        <v>11015.95</v>
      </c>
      <c r="I42" s="3">
        <f t="shared" si="0"/>
        <v>0.1364698329810283</v>
      </c>
      <c r="J42" t="str">
        <f t="shared" si="1"/>
        <v>Above Budget</v>
      </c>
    </row>
    <row r="43" spans="1:10" x14ac:dyDescent="0.25">
      <c r="A43">
        <v>2025</v>
      </c>
      <c r="B43" t="s">
        <v>12</v>
      </c>
      <c r="C43">
        <v>2</v>
      </c>
      <c r="D43">
        <v>130984.44</v>
      </c>
      <c r="E43">
        <v>142175.37</v>
      </c>
      <c r="F43">
        <v>145492.07</v>
      </c>
      <c r="G43">
        <v>14507.63</v>
      </c>
      <c r="I43" s="3">
        <f t="shared" si="0"/>
        <v>0.10204038857081926</v>
      </c>
      <c r="J43" t="str">
        <f t="shared" si="1"/>
        <v>Above Budget</v>
      </c>
    </row>
    <row r="44" spans="1:10" x14ac:dyDescent="0.25">
      <c r="A44">
        <v>2025</v>
      </c>
      <c r="B44" t="s">
        <v>12</v>
      </c>
      <c r="C44">
        <v>3</v>
      </c>
      <c r="D44">
        <v>89085.04</v>
      </c>
      <c r="E44">
        <v>89296.12</v>
      </c>
      <c r="F44">
        <v>88359.56</v>
      </c>
      <c r="G44">
        <v>-725.48</v>
      </c>
      <c r="I44" s="3">
        <f t="shared" si="0"/>
        <v>-8.1244291465295479E-3</v>
      </c>
      <c r="J44" t="str">
        <f t="shared" si="1"/>
        <v>Below Budget</v>
      </c>
    </row>
    <row r="45" spans="1:10" x14ac:dyDescent="0.25">
      <c r="A45">
        <v>2025</v>
      </c>
      <c r="B45" t="s">
        <v>12</v>
      </c>
      <c r="C45">
        <v>4</v>
      </c>
      <c r="D45">
        <v>116081.08</v>
      </c>
      <c r="E45">
        <v>119772.47</v>
      </c>
      <c r="F45">
        <v>112381.38</v>
      </c>
      <c r="G45">
        <v>-3699.7</v>
      </c>
      <c r="I45" s="3">
        <f t="shared" si="0"/>
        <v>-3.0889402214048019E-2</v>
      </c>
      <c r="J45" t="str">
        <f t="shared" si="1"/>
        <v>Below Budget</v>
      </c>
    </row>
    <row r="46" spans="1:10" x14ac:dyDescent="0.25">
      <c r="A46">
        <v>2025</v>
      </c>
      <c r="B46" t="s">
        <v>13</v>
      </c>
      <c r="C46">
        <v>1</v>
      </c>
      <c r="D46">
        <v>64640.45</v>
      </c>
      <c r="E46">
        <v>70051.16</v>
      </c>
      <c r="F46">
        <v>66350.81</v>
      </c>
      <c r="G46">
        <v>1710.36</v>
      </c>
      <c r="I46" s="3">
        <f t="shared" si="0"/>
        <v>2.4415869772891695E-2</v>
      </c>
      <c r="J46" t="str">
        <f t="shared" si="1"/>
        <v>Above Budget</v>
      </c>
    </row>
    <row r="47" spans="1:10" x14ac:dyDescent="0.25">
      <c r="A47">
        <v>2025</v>
      </c>
      <c r="B47" t="s">
        <v>13</v>
      </c>
      <c r="C47">
        <v>2</v>
      </c>
      <c r="D47">
        <v>21211.21</v>
      </c>
      <c r="E47">
        <v>22362.69</v>
      </c>
      <c r="F47">
        <v>22368.41</v>
      </c>
      <c r="G47">
        <v>1157.2</v>
      </c>
      <c r="I47" s="3">
        <f t="shared" si="0"/>
        <v>5.1746905224729231E-2</v>
      </c>
      <c r="J47" t="str">
        <f t="shared" si="1"/>
        <v>Above Budget</v>
      </c>
    </row>
    <row r="48" spans="1:10" x14ac:dyDescent="0.25">
      <c r="A48">
        <v>2025</v>
      </c>
      <c r="B48" t="s">
        <v>13</v>
      </c>
      <c r="C48">
        <v>3</v>
      </c>
      <c r="D48">
        <v>37532.769999999997</v>
      </c>
      <c r="E48">
        <v>38564.660000000003</v>
      </c>
      <c r="F48">
        <v>37139</v>
      </c>
      <c r="G48">
        <v>-393.77</v>
      </c>
      <c r="I48" s="3">
        <f t="shared" si="0"/>
        <v>-1.0210643630723049E-2</v>
      </c>
      <c r="J48" t="str">
        <f t="shared" si="1"/>
        <v>Below Budget</v>
      </c>
    </row>
    <row r="49" spans="1:10" x14ac:dyDescent="0.25">
      <c r="A49">
        <v>2025</v>
      </c>
      <c r="B49" t="s">
        <v>13</v>
      </c>
      <c r="C49">
        <v>4</v>
      </c>
      <c r="D49">
        <v>28580.31</v>
      </c>
      <c r="E49">
        <v>29613.63</v>
      </c>
      <c r="F49">
        <v>28551.84</v>
      </c>
      <c r="G49">
        <v>-28.47</v>
      </c>
      <c r="I49" s="3">
        <f t="shared" si="0"/>
        <v>-9.6138163406512471E-4</v>
      </c>
      <c r="J49" t="str">
        <f t="shared" si="1"/>
        <v>Below Budget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0"/>
  <sheetViews>
    <sheetView workbookViewId="0">
      <selection activeCell="C21" sqref="C21"/>
    </sheetView>
  </sheetViews>
  <sheetFormatPr defaultRowHeight="15" x14ac:dyDescent="0.25"/>
  <cols>
    <col min="1" max="1" width="17.7109375" bestFit="1" customWidth="1"/>
    <col min="2" max="3" width="19.28515625" bestFit="1" customWidth="1"/>
  </cols>
  <sheetData>
    <row r="3" spans="1:2" x14ac:dyDescent="0.25">
      <c r="A3" s="4" t="s">
        <v>16</v>
      </c>
      <c r="B3" t="s">
        <v>18</v>
      </c>
    </row>
    <row r="4" spans="1:2" x14ac:dyDescent="0.25">
      <c r="A4" s="5" t="s">
        <v>8</v>
      </c>
      <c r="B4">
        <v>-8766.0300000000007</v>
      </c>
    </row>
    <row r="5" spans="1:2" x14ac:dyDescent="0.25">
      <c r="A5" s="5" t="s">
        <v>9</v>
      </c>
      <c r="B5">
        <v>6063.1899999999987</v>
      </c>
    </row>
    <row r="6" spans="1:2" x14ac:dyDescent="0.25">
      <c r="A6" s="5" t="s">
        <v>10</v>
      </c>
      <c r="B6">
        <v>-9957.3300000000017</v>
      </c>
    </row>
    <row r="7" spans="1:2" x14ac:dyDescent="0.25">
      <c r="A7" s="5" t="s">
        <v>12</v>
      </c>
      <c r="B7">
        <v>40097.25</v>
      </c>
    </row>
    <row r="8" spans="1:2" x14ac:dyDescent="0.25">
      <c r="A8" s="5" t="s">
        <v>13</v>
      </c>
      <c r="B8">
        <v>3048.76</v>
      </c>
    </row>
    <row r="9" spans="1:2" x14ac:dyDescent="0.25">
      <c r="A9" s="5" t="s">
        <v>11</v>
      </c>
      <c r="B9">
        <v>24153.510000000002</v>
      </c>
    </row>
    <row r="10" spans="1:2" x14ac:dyDescent="0.25">
      <c r="A10" s="5" t="s">
        <v>17</v>
      </c>
      <c r="B10">
        <v>54639.35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10"/>
  <sheetViews>
    <sheetView workbookViewId="0">
      <selection activeCell="C23" sqref="C23"/>
    </sheetView>
  </sheetViews>
  <sheetFormatPr defaultRowHeight="15" x14ac:dyDescent="0.25"/>
  <cols>
    <col min="1" max="1" width="17.7109375" bestFit="1" customWidth="1"/>
    <col min="2" max="2" width="17.85546875" bestFit="1" customWidth="1"/>
    <col min="3" max="3" width="17" bestFit="1" customWidth="1"/>
  </cols>
  <sheetData>
    <row r="3" spans="1:3" x14ac:dyDescent="0.25">
      <c r="A3" s="4" t="s">
        <v>16</v>
      </c>
      <c r="B3" t="s">
        <v>19</v>
      </c>
      <c r="C3" t="s">
        <v>20</v>
      </c>
    </row>
    <row r="4" spans="1:3" x14ac:dyDescent="0.25">
      <c r="A4" s="5" t="s">
        <v>8</v>
      </c>
      <c r="B4">
        <v>642803.77999999991</v>
      </c>
      <c r="C4">
        <v>634037.75</v>
      </c>
    </row>
    <row r="5" spans="1:3" x14ac:dyDescent="0.25">
      <c r="A5" s="5" t="s">
        <v>9</v>
      </c>
      <c r="B5">
        <v>528395.82999999996</v>
      </c>
      <c r="C5">
        <v>534459.02</v>
      </c>
    </row>
    <row r="6" spans="1:3" x14ac:dyDescent="0.25">
      <c r="A6" s="5" t="s">
        <v>10</v>
      </c>
      <c r="B6">
        <v>560662.26</v>
      </c>
      <c r="C6">
        <v>550704.92999999993</v>
      </c>
    </row>
    <row r="7" spans="1:3" x14ac:dyDescent="0.25">
      <c r="A7" s="5" t="s">
        <v>12</v>
      </c>
      <c r="B7">
        <v>812792.96000000008</v>
      </c>
      <c r="C7">
        <v>852890.21000000008</v>
      </c>
    </row>
    <row r="8" spans="1:3" x14ac:dyDescent="0.25">
      <c r="A8" s="5" t="s">
        <v>13</v>
      </c>
      <c r="B8">
        <v>479846.31</v>
      </c>
      <c r="C8">
        <v>482895.07</v>
      </c>
    </row>
    <row r="9" spans="1:3" x14ac:dyDescent="0.25">
      <c r="A9" s="5" t="s">
        <v>11</v>
      </c>
      <c r="B9">
        <v>712383.88</v>
      </c>
      <c r="C9">
        <v>736537.3899999999</v>
      </c>
    </row>
    <row r="10" spans="1:3" x14ac:dyDescent="0.25">
      <c r="A10" s="5" t="s">
        <v>17</v>
      </c>
      <c r="B10">
        <v>3736885.02</v>
      </c>
      <c r="C10">
        <v>3791524.37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8"/>
  <sheetViews>
    <sheetView workbookViewId="0">
      <selection activeCell="B29" sqref="B29"/>
    </sheetView>
  </sheetViews>
  <sheetFormatPr defaultRowHeight="15" x14ac:dyDescent="0.25"/>
  <cols>
    <col min="1" max="1" width="17.7109375" bestFit="1" customWidth="1"/>
    <col min="2" max="2" width="19.28515625" bestFit="1" customWidth="1"/>
  </cols>
  <sheetData>
    <row r="3" spans="1:2" x14ac:dyDescent="0.25">
      <c r="A3" s="4" t="s">
        <v>16</v>
      </c>
      <c r="B3" t="s">
        <v>18</v>
      </c>
    </row>
    <row r="4" spans="1:2" x14ac:dyDescent="0.25">
      <c r="A4" s="5">
        <v>1</v>
      </c>
      <c r="B4">
        <v>37689.03</v>
      </c>
    </row>
    <row r="5" spans="1:2" x14ac:dyDescent="0.25">
      <c r="A5" s="5">
        <v>2</v>
      </c>
      <c r="B5">
        <v>28290.859999999997</v>
      </c>
    </row>
    <row r="6" spans="1:2" x14ac:dyDescent="0.25">
      <c r="A6" s="5">
        <v>3</v>
      </c>
      <c r="B6">
        <v>10752.519999999999</v>
      </c>
    </row>
    <row r="7" spans="1:2" x14ac:dyDescent="0.25">
      <c r="A7" s="5">
        <v>4</v>
      </c>
      <c r="B7">
        <v>-22093.059999999998</v>
      </c>
    </row>
    <row r="8" spans="1:2" x14ac:dyDescent="0.25">
      <c r="A8" s="5" t="s">
        <v>17</v>
      </c>
      <c r="B8">
        <v>54639.350000000006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8"/>
  <sheetViews>
    <sheetView workbookViewId="0">
      <selection activeCell="B16" sqref="B16"/>
    </sheetView>
  </sheetViews>
  <sheetFormatPr defaultRowHeight="15" x14ac:dyDescent="0.25"/>
  <cols>
    <col min="1" max="1" width="17.7109375" bestFit="1" customWidth="1"/>
    <col min="2" max="2" width="17.85546875" bestFit="1" customWidth="1"/>
    <col min="3" max="3" width="17" bestFit="1" customWidth="1"/>
  </cols>
  <sheetData>
    <row r="3" spans="1:3" x14ac:dyDescent="0.25">
      <c r="A3" s="4" t="s">
        <v>16</v>
      </c>
      <c r="B3" t="s">
        <v>19</v>
      </c>
      <c r="C3" t="s">
        <v>20</v>
      </c>
    </row>
    <row r="4" spans="1:3" x14ac:dyDescent="0.25">
      <c r="A4" s="5">
        <v>1</v>
      </c>
      <c r="B4">
        <v>836513.36</v>
      </c>
      <c r="C4">
        <v>874202.3899999999</v>
      </c>
    </row>
    <row r="5" spans="1:3" x14ac:dyDescent="0.25">
      <c r="A5" s="5">
        <v>2</v>
      </c>
      <c r="B5">
        <v>944258.54</v>
      </c>
      <c r="C5">
        <v>972549.40000000026</v>
      </c>
    </row>
    <row r="6" spans="1:3" x14ac:dyDescent="0.25">
      <c r="A6" s="5">
        <v>3</v>
      </c>
      <c r="B6">
        <v>938113.77</v>
      </c>
      <c r="C6">
        <v>948866.29</v>
      </c>
    </row>
    <row r="7" spans="1:3" x14ac:dyDescent="0.25">
      <c r="A7" s="5">
        <v>4</v>
      </c>
      <c r="B7">
        <v>1017999.35</v>
      </c>
      <c r="C7">
        <v>995906.29</v>
      </c>
    </row>
    <row r="8" spans="1:3" x14ac:dyDescent="0.25">
      <c r="A8" s="5" t="s">
        <v>17</v>
      </c>
      <c r="B8">
        <v>3736885.02</v>
      </c>
      <c r="C8">
        <v>3791524.37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8"/>
  <sheetViews>
    <sheetView tabSelected="1" workbookViewId="0">
      <selection activeCell="E6" sqref="E6"/>
    </sheetView>
  </sheetViews>
  <sheetFormatPr defaultRowHeight="15" x14ac:dyDescent="0.25"/>
  <cols>
    <col min="1" max="1" width="17.7109375" bestFit="1" customWidth="1"/>
    <col min="2" max="2" width="19" bestFit="1" customWidth="1"/>
    <col min="3" max="3" width="17" bestFit="1" customWidth="1"/>
  </cols>
  <sheetData>
    <row r="3" spans="1:3" x14ac:dyDescent="0.25">
      <c r="A3" s="4" t="s">
        <v>16</v>
      </c>
      <c r="B3" t="s">
        <v>21</v>
      </c>
      <c r="C3" t="s">
        <v>20</v>
      </c>
    </row>
    <row r="4" spans="1:3" x14ac:dyDescent="0.25">
      <c r="A4" s="5">
        <v>1</v>
      </c>
      <c r="B4">
        <v>862904.87</v>
      </c>
      <c r="C4">
        <v>874202.3899999999</v>
      </c>
    </row>
    <row r="5" spans="1:3" x14ac:dyDescent="0.25">
      <c r="A5" s="5">
        <v>2</v>
      </c>
      <c r="B5">
        <v>939642.00000000012</v>
      </c>
      <c r="C5">
        <v>972549.40000000026</v>
      </c>
    </row>
    <row r="6" spans="1:3" x14ac:dyDescent="0.25">
      <c r="A6" s="5">
        <v>3</v>
      </c>
      <c r="B6">
        <v>932717.41999999993</v>
      </c>
      <c r="C6">
        <v>948866.29</v>
      </c>
    </row>
    <row r="7" spans="1:3" x14ac:dyDescent="0.25">
      <c r="A7" s="5">
        <v>4</v>
      </c>
      <c r="B7">
        <v>992994.37999999989</v>
      </c>
      <c r="C7">
        <v>995906.29</v>
      </c>
    </row>
    <row r="8" spans="1:3" x14ac:dyDescent="0.25">
      <c r="A8" s="5" t="s">
        <v>17</v>
      </c>
      <c r="B8">
        <v>3728258.67</v>
      </c>
      <c r="C8">
        <v>3791524.37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Dane finansowe</vt:lpstr>
      <vt:lpstr>Odchylenia wg działu</vt:lpstr>
      <vt:lpstr>Budget vs Actual</vt:lpstr>
      <vt:lpstr>Odchylenia wg kwartału</vt:lpstr>
      <vt:lpstr>Budget vs Actual kwartalnie</vt:lpstr>
      <vt:lpstr>Forecast vs Actual kwartalnie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SarveRR-Computer</dc:creator>
  <cp:lastModifiedBy>P Sułkowski</cp:lastModifiedBy>
  <dcterms:created xsi:type="dcterms:W3CDTF">2025-06-28T04:56:09Z</dcterms:created>
  <dcterms:modified xsi:type="dcterms:W3CDTF">2026-10-01T12:59:58Z</dcterms:modified>
</cp:coreProperties>
</file>